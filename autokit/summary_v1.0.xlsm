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0376" windowHeight="9732" tabRatio="821"/>
  </bookViews>
  <sheets>
    <sheet name="Summary" sheetId="42013" r:id="rId1"/>
    <sheet name="Timeline Chart" sheetId="42095" r:id="rId2"/>
  </sheets>
  <functionGroups builtInGroupCount="17"/>
  <calcPr calcId="145621"/>
</workbook>
</file>

<file path=xl/calcChain.xml><?xml version="1.0" encoding="utf-8"?>
<calcChain xmlns="http://schemas.openxmlformats.org/spreadsheetml/2006/main">
  <c r="G29" i="42013" l="1"/>
  <c r="G28" i="42013"/>
  <c r="G27" i="42013"/>
  <c r="G26" i="42013"/>
  <c r="G25" i="42013"/>
  <c r="G24" i="42013"/>
  <c r="G23" i="42013"/>
  <c r="G22" i="42013"/>
  <c r="G21" i="42013"/>
  <c r="G18" i="42013"/>
  <c r="G17" i="42013"/>
  <c r="G16" i="42013"/>
  <c r="G15" i="42013"/>
  <c r="G14" i="42013"/>
  <c r="G13" i="42013"/>
  <c r="G12" i="42013"/>
  <c r="G11" i="42013"/>
  <c r="G10" i="42013"/>
  <c r="G9" i="42013"/>
  <c r="G8" i="42013"/>
  <c r="G7" i="42013"/>
  <c r="J29" i="42013"/>
  <c r="J28" i="42013"/>
  <c r="J27" i="42013"/>
  <c r="J26" i="42013"/>
  <c r="J25" i="42013"/>
  <c r="J24" i="42013"/>
  <c r="J23" i="42013"/>
  <c r="J22" i="42013"/>
  <c r="J21" i="42013"/>
  <c r="J18" i="42013"/>
  <c r="J17" i="42013"/>
  <c r="J16" i="42013"/>
  <c r="J15" i="42013"/>
  <c r="J14" i="42013"/>
  <c r="J13" i="42013"/>
  <c r="J12" i="42013"/>
  <c r="J11" i="42013"/>
  <c r="J10" i="42013"/>
  <c r="J9" i="42013"/>
  <c r="J8" i="42013"/>
  <c r="J7" i="42013"/>
  <c r="I29" i="42013"/>
  <c r="I28" i="42013"/>
  <c r="I27" i="42013"/>
  <c r="I26" i="42013"/>
  <c r="I25" i="42013"/>
  <c r="I24" i="42013"/>
  <c r="I23" i="42013"/>
  <c r="I22" i="42013"/>
  <c r="I21" i="42013"/>
  <c r="I18" i="42013"/>
  <c r="I17" i="42013"/>
  <c r="I16" i="42013"/>
  <c r="I15" i="42013"/>
  <c r="I14" i="42013"/>
  <c r="I13" i="42013"/>
  <c r="I12" i="42013"/>
  <c r="I11" i="42013"/>
  <c r="I10" i="42013"/>
  <c r="I9" i="42013"/>
  <c r="I8" i="42013"/>
  <c r="I7" i="42013"/>
  <c r="D29" i="42013"/>
  <c r="D28" i="42013"/>
  <c r="D27" i="42013"/>
  <c r="D26" i="42013"/>
  <c r="D25" i="42013"/>
  <c r="D24" i="42013"/>
  <c r="D23" i="42013"/>
  <c r="D22" i="42013"/>
  <c r="D21" i="42013"/>
  <c r="D18" i="42013"/>
  <c r="D17" i="42013"/>
  <c r="D16" i="42013"/>
  <c r="D15" i="42013"/>
  <c r="D14" i="42013"/>
  <c r="D13" i="42013"/>
  <c r="D12" i="42013"/>
  <c r="D11" i="42013"/>
  <c r="D10" i="42013"/>
  <c r="D9" i="42013"/>
  <c r="D8" i="42013"/>
  <c r="D7" i="42013"/>
  <c r="K29" i="42013"/>
  <c r="K28" i="42013"/>
  <c r="K27" i="42013"/>
  <c r="K26" i="42013"/>
  <c r="K25" i="42013"/>
  <c r="K24" i="42013"/>
  <c r="K23" i="42013"/>
  <c r="K22" i="42013"/>
  <c r="K21" i="42013"/>
  <c r="K18" i="42013"/>
  <c r="K17" i="42013"/>
  <c r="K16" i="42013"/>
  <c r="K15" i="42013"/>
  <c r="K14" i="42013"/>
  <c r="K13" i="42013"/>
  <c r="K12" i="42013"/>
  <c r="K11" i="42013"/>
  <c r="K10" i="42013"/>
  <c r="K9" i="42013"/>
  <c r="K8" i="42013"/>
  <c r="K7" i="42013"/>
  <c r="C29" i="42013"/>
  <c r="C28" i="42013"/>
  <c r="C27" i="42013"/>
  <c r="C26" i="42013"/>
  <c r="C25" i="42013"/>
  <c r="C24" i="42013"/>
  <c r="C23" i="42013"/>
  <c r="C22" i="42013"/>
  <c r="C21" i="42013"/>
  <c r="C20" i="42013"/>
  <c r="C19" i="42013"/>
  <c r="C18" i="42013"/>
  <c r="C17" i="42013"/>
  <c r="C16" i="42013"/>
  <c r="C15" i="42013"/>
  <c r="C14" i="42013"/>
  <c r="C13" i="42013"/>
  <c r="C12" i="42013"/>
  <c r="C11" i="42013"/>
  <c r="C10" i="42013"/>
  <c r="C9" i="42013"/>
  <c r="C8" i="42013"/>
  <c r="C7" i="42013"/>
  <c r="H29" i="42013"/>
  <c r="H28" i="42013"/>
  <c r="H27" i="42013"/>
  <c r="H26" i="42013"/>
  <c r="H25" i="42013"/>
  <c r="H24" i="42013"/>
  <c r="H23" i="42013"/>
  <c r="H22" i="42013"/>
  <c r="H21" i="42013"/>
  <c r="H18" i="42013"/>
  <c r="H17" i="42013"/>
  <c r="H16" i="42013"/>
  <c r="H15" i="42013"/>
  <c r="H14" i="42013"/>
  <c r="H13" i="42013"/>
  <c r="H12" i="42013"/>
  <c r="H11" i="42013"/>
  <c r="H10" i="42013"/>
  <c r="H9" i="42013"/>
  <c r="H8" i="42013"/>
  <c r="H7" i="42013"/>
  <c r="F29" i="42013"/>
  <c r="F28" i="42013"/>
  <c r="F27" i="42013"/>
  <c r="F26" i="42013"/>
  <c r="F25" i="42013"/>
  <c r="F24" i="42013"/>
  <c r="F23" i="42013"/>
  <c r="F22" i="42013"/>
  <c r="F21" i="42013"/>
  <c r="F18" i="42013"/>
  <c r="F17" i="42013"/>
  <c r="F16" i="42013"/>
  <c r="F15" i="42013"/>
  <c r="F14" i="42013"/>
  <c r="F13" i="42013"/>
  <c r="F12" i="42013"/>
  <c r="F11" i="42013"/>
  <c r="F10" i="42013"/>
  <c r="F9" i="42013"/>
  <c r="F8" i="42013"/>
  <c r="F7" i="42013"/>
  <c r="B29" i="42013"/>
  <c r="B28" i="42013"/>
  <c r="B27" i="42013"/>
  <c r="B26" i="42013"/>
  <c r="B25" i="42013"/>
  <c r="B24" i="42013"/>
  <c r="B23" i="42013"/>
  <c r="B22" i="42013"/>
  <c r="B21" i="42013"/>
  <c r="B18" i="42013"/>
  <c r="B17" i="42013"/>
  <c r="B16" i="42013"/>
  <c r="B15" i="42013"/>
  <c r="B14" i="42013"/>
  <c r="B13" i="42013"/>
  <c r="B12" i="42013"/>
  <c r="B11" i="42013"/>
  <c r="B10" i="42013"/>
  <c r="B9" i="42013"/>
  <c r="B8" i="42013"/>
  <c r="B7" i="42013"/>
  <c r="E29" i="42013"/>
  <c r="E28" i="42013"/>
  <c r="E27" i="42013"/>
  <c r="E26" i="42013"/>
  <c r="E25" i="42013"/>
  <c r="E24" i="42013"/>
  <c r="E23" i="42013"/>
  <c r="E22" i="42013"/>
  <c r="E21" i="42013"/>
  <c r="E18" i="42013"/>
  <c r="E17" i="42013"/>
  <c r="E16" i="42013"/>
  <c r="E15" i="42013"/>
  <c r="E14" i="42013"/>
  <c r="E13" i="42013"/>
  <c r="E12" i="42013"/>
  <c r="E11" i="42013"/>
  <c r="E10" i="42013"/>
  <c r="E9" i="42013"/>
  <c r="E8" i="42013"/>
  <c r="E7" i="42013"/>
</calcChain>
</file>

<file path=xl/sharedStrings.xml><?xml version="1.0" encoding="utf-8"?>
<sst xmlns="http://schemas.openxmlformats.org/spreadsheetml/2006/main" count="61" uniqueCount="61">
  <si>
    <t>AVERAGE</t>
    <phoneticPr fontId="0" type="noConversion"/>
  </si>
  <si>
    <t xml:space="preserve">Node </t>
    <phoneticPr fontId="0" type="noConversion"/>
  </si>
  <si>
    <t>vmstat use%</t>
    <phoneticPr fontId="0" type="noConversion"/>
  </si>
  <si>
    <t>vmstat sys%</t>
    <phoneticPr fontId="0" type="noConversion"/>
  </si>
  <si>
    <t>vmstat idle%</t>
    <phoneticPr fontId="0" type="noConversion"/>
  </si>
  <si>
    <t>vmstat bi</t>
    <phoneticPr fontId="0" type="noConversion"/>
  </si>
  <si>
    <t>vmstat bo</t>
    <phoneticPr fontId="0" type="noConversion"/>
  </si>
  <si>
    <t>vmstat cs</t>
    <phoneticPr fontId="0" type="noConversion"/>
  </si>
  <si>
    <t>sar all user%</t>
    <phoneticPr fontId="0" type="noConversion"/>
  </si>
  <si>
    <t>sar all kernel%</t>
    <phoneticPr fontId="0" type="noConversion"/>
  </si>
  <si>
    <t>sar all idle%</t>
    <phoneticPr fontId="0" type="noConversion"/>
  </si>
  <si>
    <t>sar all iowait%</t>
    <phoneticPr fontId="0" type="noConversion"/>
  </si>
  <si>
    <t>r/s</t>
    <phoneticPr fontId="0" type="noConversion"/>
  </si>
  <si>
    <t>w/s</t>
    <phoneticPr fontId="0" type="noConversion"/>
  </si>
  <si>
    <t>rKB/s</t>
    <phoneticPr fontId="0" type="noConversion"/>
  </si>
  <si>
    <t>wKB/s</t>
    <phoneticPr fontId="0" type="noConversion"/>
  </si>
  <si>
    <t>avgqu-sz</t>
    <phoneticPr fontId="0" type="noConversion"/>
  </si>
  <si>
    <t>avgrq-sz</t>
    <phoneticPr fontId="0" type="noConversion"/>
  </si>
  <si>
    <t>await</t>
    <phoneticPr fontId="0" type="noConversion"/>
  </si>
  <si>
    <t>svtcm</t>
    <phoneticPr fontId="0" type="noConversion"/>
  </si>
  <si>
    <t>%util</t>
    <phoneticPr fontId="0" type="noConversion"/>
  </si>
  <si>
    <t>proxy_int_NIC</t>
    <phoneticPr fontId="0" type="noConversion"/>
  </si>
  <si>
    <t>Proxy_ext_NIC</t>
    <phoneticPr fontId="0" type="noConversion"/>
  </si>
  <si>
    <t>ProxyIP</t>
    <phoneticPr fontId="0" type="noConversion"/>
  </si>
  <si>
    <t>proxy_ext rxKB/s</t>
    <phoneticPr fontId="0" type="noConversion"/>
  </si>
  <si>
    <t>proxy_ext_txKB/s</t>
    <phoneticPr fontId="0" type="noConversion"/>
  </si>
  <si>
    <t>sar_int_ rxKB/s</t>
    <phoneticPr fontId="0" type="noConversion"/>
  </si>
  <si>
    <t>sar_int_txKB/s</t>
    <phoneticPr fontId="0" type="noConversion"/>
  </si>
  <si>
    <t>192.168.0.200</t>
    <phoneticPr fontId="0" type="noConversion"/>
  </si>
  <si>
    <t>eth4</t>
    <phoneticPr fontId="0" type="noConversion"/>
  </si>
  <si>
    <t>eth5</t>
    <phoneticPr fontId="0" type="noConversion"/>
  </si>
  <si>
    <t>192.168.0.90</t>
    <phoneticPr fontId="0" type="noConversion"/>
  </si>
  <si>
    <t>192.168.0.200</t>
    <phoneticPr fontId="0" type="noConversion"/>
  </si>
  <si>
    <t>192.168.0.56</t>
    <phoneticPr fontId="0" type="noConversion"/>
  </si>
  <si>
    <t>192.168.0.57</t>
    <phoneticPr fontId="0" type="noConversion"/>
  </si>
  <si>
    <t>192.168.0.58</t>
    <phoneticPr fontId="0" type="noConversion"/>
  </si>
  <si>
    <t>192.168.0.59</t>
    <phoneticPr fontId="0" type="noConversion"/>
  </si>
  <si>
    <t>10.1.2.111</t>
    <phoneticPr fontId="0" type="noConversion"/>
  </si>
  <si>
    <t>10.1.2.115</t>
    <phoneticPr fontId="0" type="noConversion"/>
  </si>
  <si>
    <t>10.1.2.119</t>
    <phoneticPr fontId="0" type="noConversion"/>
  </si>
  <si>
    <t>Control</t>
    <phoneticPr fontId="0" type="noConversion"/>
  </si>
  <si>
    <t>proxy</t>
    <phoneticPr fontId="0" type="noConversion"/>
  </si>
  <si>
    <t>SN1</t>
    <phoneticPr fontId="0" type="noConversion"/>
  </si>
  <si>
    <t>SN2</t>
    <phoneticPr fontId="0" type="noConversion"/>
  </si>
  <si>
    <t>SN3</t>
    <phoneticPr fontId="0" type="noConversion"/>
  </si>
  <si>
    <t>SN4</t>
    <phoneticPr fontId="0" type="noConversion"/>
  </si>
  <si>
    <t>SN5</t>
    <phoneticPr fontId="0" type="noConversion"/>
  </si>
  <si>
    <t>192.168.0.60</t>
    <phoneticPr fontId="0" type="noConversion"/>
  </si>
  <si>
    <t>Client1</t>
    <phoneticPr fontId="0" type="noConversion"/>
  </si>
  <si>
    <t>Client2</t>
    <phoneticPr fontId="0" type="noConversion"/>
  </si>
  <si>
    <t>Client3</t>
    <phoneticPr fontId="0" type="noConversion"/>
  </si>
  <si>
    <t>192.168.0.57</t>
  </si>
  <si>
    <t>192.168.0.90</t>
  </si>
  <si>
    <t>192.168.0.58</t>
  </si>
  <si>
    <t>192.168.0.60</t>
  </si>
  <si>
    <t>192.168.0.200</t>
  </si>
  <si>
    <t>10.1.2.119</t>
  </si>
  <si>
    <t>192.168.0.56</t>
  </si>
  <si>
    <t>10.1.2.111</t>
  </si>
  <si>
    <t>10.1.2.115</t>
  </si>
  <si>
    <t>192.168.0.59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</si>
</sst>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  <family val="2"/>
    </font>
    <font>
      <sz val="10"/>
      <color rgb="FF000000"/>
      <name val="Arial"/>
      <family val="2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3</xdr:col>
          <xdr:colOff>335280</xdr:colOff>
          <xdr:row>0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Data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0</xdr:row>
          <xdr:rowOff>30480</xdr:rowOff>
        </xdr:from>
        <xdr:to>
          <xdr:col>1</xdr:col>
          <xdr:colOff>289560</xdr:colOff>
          <xdr:row>1</xdr:row>
          <xdr:rowOff>144780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Data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98"/>
  <sheetViews>
    <sheetView tabSelected="1" workbookViewId="0">
      <selection activeCell="I4" sqref="I4"/>
    </sheetView>
  </sheetViews>
  <sheetFormatPr defaultRowHeight="13.2" x14ac:dyDescent="0.25"/>
  <cols>
    <col min="1" max="1" width="17.33203125" bestFit="1" customWidth="1"/>
    <col min="2" max="2" width="14.5546875" customWidth="1"/>
    <col min="3" max="3" width="12.88671875" customWidth="1"/>
    <col min="4" max="5" width="15.5546875" customWidth="1"/>
    <col min="6" max="6" width="18.5546875" customWidth="1"/>
    <col min="7" max="7" width="16.6640625" customWidth="1"/>
    <col min="8" max="8" width="19.33203125" customWidth="1"/>
    <col min="9" max="9" width="16.6640625" customWidth="1"/>
    <col min="10" max="10" width="14.88671875" customWidth="1"/>
    <col min="11" max="11" width="13.5546875" bestFit="1" customWidth="1"/>
    <col min="12" max="13" width="12.6640625" bestFit="1" customWidth="1"/>
  </cols>
  <sheetData>
    <row r="1" spans="1:11" x14ac:dyDescent="0.25">
      <c r="C1" t="s">
        <v>23</v>
      </c>
      <c r="D1" t="s">
        <v>28</v>
      </c>
    </row>
    <row r="2" spans="1:11" x14ac:dyDescent="0.25">
      <c r="C2" t="s">
        <v>22</v>
      </c>
      <c r="D2" t="s">
        <v>29</v>
      </c>
    </row>
    <row r="3" spans="1:11" x14ac:dyDescent="0.25">
      <c r="C3" t="s">
        <v>21</v>
      </c>
      <c r="D3" t="s">
        <v>30</v>
      </c>
    </row>
    <row r="4" spans="1:11" x14ac:dyDescent="0.25">
      <c r="B4" t="s">
        <v>40</v>
      </c>
      <c r="C4" t="s">
        <v>41</v>
      </c>
      <c r="D4" t="s">
        <v>42</v>
      </c>
      <c r="E4" t="s">
        <v>43</v>
      </c>
      <c r="F4" t="s">
        <v>44</v>
      </c>
      <c r="G4" t="s">
        <v>45</v>
      </c>
      <c r="H4" t="s">
        <v>46</v>
      </c>
      <c r="I4" t="s">
        <v>48</v>
      </c>
      <c r="J4" t="s">
        <v>49</v>
      </c>
      <c r="K4" t="s">
        <v>50</v>
      </c>
    </row>
    <row r="5" spans="1:11" x14ac:dyDescent="0.25">
      <c r="A5" t="s">
        <v>0</v>
      </c>
      <c r="B5" t="s">
        <v>31</v>
      </c>
      <c r="C5" t="s">
        <v>32</v>
      </c>
      <c r="D5" t="s">
        <v>33</v>
      </c>
      <c r="E5" t="s">
        <v>34</v>
      </c>
      <c r="F5" t="s">
        <v>35</v>
      </c>
      <c r="G5" t="s">
        <v>36</v>
      </c>
      <c r="H5" t="s">
        <v>47</v>
      </c>
      <c r="I5" t="s">
        <v>37</v>
      </c>
      <c r="J5" t="s">
        <v>38</v>
      </c>
      <c r="K5" t="s">
        <v>39</v>
      </c>
    </row>
    <row r="6" spans="1:11" x14ac:dyDescent="0.25">
      <c r="A6" t="s">
        <v>1</v>
      </c>
      <c r="B6" t="s">
        <v>52</v>
      </c>
      <c r="C6" t="s">
        <v>55</v>
      </c>
      <c r="D6" t="s">
        <v>57</v>
      </c>
      <c r="E6" t="s">
        <v>51</v>
      </c>
      <c r="F6" t="s">
        <v>53</v>
      </c>
      <c r="G6" t="s">
        <v>60</v>
      </c>
      <c r="H6" t="s">
        <v>54</v>
      </c>
      <c r="I6" t="s">
        <v>58</v>
      </c>
      <c r="J6" t="s">
        <v>59</v>
      </c>
      <c r="K6" t="s">
        <v>56</v>
      </c>
    </row>
    <row r="7" spans="1:11" x14ac:dyDescent="0.25">
      <c r="A7" t="s">
        <v>2</v>
      </c>
      <c r="B7" t="e">
        <f>VLOOKUP("us",#REF!, 2, FALSE)</f>
        <v>#REF!</v>
      </c>
      <c r="C7" t="e">
        <f>VLOOKUP("us",#REF!, 2, FALSE)</f>
        <v>#REF!</v>
      </c>
      <c r="D7" t="e">
        <f>VLOOKUP("us",#REF!, 2, FALSE)</f>
        <v>#REF!</v>
      </c>
      <c r="E7" t="e">
        <f>VLOOKUP("us",#REF!, 2, FALSE)</f>
        <v>#REF!</v>
      </c>
      <c r="F7" t="e">
        <f>VLOOKUP("us",#REF!, 2, FALSE)</f>
        <v>#REF!</v>
      </c>
      <c r="G7" t="e">
        <f>VLOOKUP("us",#REF!, 2, FALSE)</f>
        <v>#REF!</v>
      </c>
      <c r="H7" t="e">
        <f>VLOOKUP("us",#REF!, 2, FALSE)</f>
        <v>#REF!</v>
      </c>
      <c r="I7" t="e">
        <f>VLOOKUP("us",#REF!, 2, FALSE)</f>
        <v>#REF!</v>
      </c>
      <c r="J7" t="e">
        <f>VLOOKUP("us",#REF!, 2, FALSE)</f>
        <v>#REF!</v>
      </c>
      <c r="K7" t="e">
        <f>VLOOKUP("us",#REF!, 2, FALSE)</f>
        <v>#REF!</v>
      </c>
    </row>
    <row r="8" spans="1:11" x14ac:dyDescent="0.25">
      <c r="A8" t="s">
        <v>3</v>
      </c>
      <c r="B8" s="2" t="e">
        <f>VLOOKUP("sy",#REF!, 2, FALSE)</f>
        <v>#REF!</v>
      </c>
      <c r="C8" t="e">
        <f>VLOOKUP("sy",#REF!, 2, FALSE)</f>
        <v>#REF!</v>
      </c>
      <c r="D8" t="e">
        <f>VLOOKUP("sy",#REF!, 2, FALSE)</f>
        <v>#REF!</v>
      </c>
      <c r="E8" t="e">
        <f>VLOOKUP("sy",#REF!, 2, FALSE)</f>
        <v>#REF!</v>
      </c>
      <c r="F8" t="e">
        <f>VLOOKUP("sy",#REF!, 2, FALSE)</f>
        <v>#REF!</v>
      </c>
      <c r="G8" t="e">
        <f>VLOOKUP("sy",#REF!, 2, FALSE)</f>
        <v>#REF!</v>
      </c>
      <c r="H8" t="e">
        <f>VLOOKUP("sy",#REF!, 2, FALSE)</f>
        <v>#REF!</v>
      </c>
      <c r="I8" t="e">
        <f>VLOOKUP("sy",#REF!, 2, FALSE)</f>
        <v>#REF!</v>
      </c>
      <c r="J8" t="e">
        <f>VLOOKUP("sy",#REF!, 2, FALSE)</f>
        <v>#REF!</v>
      </c>
      <c r="K8" t="e">
        <f>VLOOKUP("sy",#REF!, 2, FALSE)</f>
        <v>#REF!</v>
      </c>
    </row>
    <row r="9" spans="1:11" x14ac:dyDescent="0.25">
      <c r="A9" t="s">
        <v>4</v>
      </c>
      <c r="B9" t="e">
        <f>VLOOKUP("id",#REF!, 2, FALSE)</f>
        <v>#REF!</v>
      </c>
      <c r="C9" t="e">
        <f>VLOOKUP("id",#REF!, 2, FALSE)</f>
        <v>#REF!</v>
      </c>
      <c r="D9" t="e">
        <f>VLOOKUP("id",#REF!, 2, FALSE)</f>
        <v>#REF!</v>
      </c>
      <c r="E9" t="e">
        <f>VLOOKUP("id",#REF!, 2, FALSE)</f>
        <v>#REF!</v>
      </c>
      <c r="F9" t="e">
        <f>VLOOKUP("id",#REF!, 2, FALSE)</f>
        <v>#REF!</v>
      </c>
      <c r="G9" t="e">
        <f>VLOOKUP("id",#REF!, 2, FALSE)</f>
        <v>#REF!</v>
      </c>
      <c r="H9" t="e">
        <f>VLOOKUP("id",#REF!, 2, FALSE)</f>
        <v>#REF!</v>
      </c>
      <c r="I9" t="e">
        <f>VLOOKUP("id",#REF!, 2, FALSE)</f>
        <v>#REF!</v>
      </c>
      <c r="J9" t="e">
        <f>VLOOKUP("id",#REF!, 2, FALSE)</f>
        <v>#REF!</v>
      </c>
      <c r="K9" t="e">
        <f>VLOOKUP("id",#REF!, 2, FALSE)</f>
        <v>#REF!</v>
      </c>
    </row>
    <row r="10" spans="1:11" x14ac:dyDescent="0.25">
      <c r="A10" t="s">
        <v>5</v>
      </c>
      <c r="B10" t="e">
        <f>VLOOKUP("bi",#REF!, 2, FALSE)</f>
        <v>#REF!</v>
      </c>
      <c r="C10" t="e">
        <f>VLOOKUP("bi",#REF!, 2, FALSE)</f>
        <v>#REF!</v>
      </c>
      <c r="D10" t="e">
        <f>VLOOKUP("bi",#REF!, 2, FALSE)</f>
        <v>#REF!</v>
      </c>
      <c r="E10" t="e">
        <f>VLOOKUP("bi",#REF!, 2, FALSE)</f>
        <v>#REF!</v>
      </c>
      <c r="F10" t="e">
        <f>VLOOKUP("bi",#REF!, 2, FALSE)</f>
        <v>#REF!</v>
      </c>
      <c r="G10" t="e">
        <f>VLOOKUP("bi",#REF!, 2, FALSE)</f>
        <v>#REF!</v>
      </c>
      <c r="H10" t="e">
        <f>VLOOKUP("bi",#REF!, 2, FALSE)</f>
        <v>#REF!</v>
      </c>
      <c r="I10" t="e">
        <f>VLOOKUP("bi",#REF!, 2, FALSE)</f>
        <v>#REF!</v>
      </c>
      <c r="J10" t="e">
        <f>VLOOKUP("bi",#REF!, 2, FALSE)</f>
        <v>#REF!</v>
      </c>
      <c r="K10" t="e">
        <f>VLOOKUP("bi",#REF!, 2, FALSE)</f>
        <v>#REF!</v>
      </c>
    </row>
    <row r="11" spans="1:11" x14ac:dyDescent="0.25">
      <c r="A11" t="s">
        <v>6</v>
      </c>
      <c r="B11" t="e">
        <f>VLOOKUP("bo",#REF!, 2, FALSE)</f>
        <v>#REF!</v>
      </c>
      <c r="C11" t="e">
        <f>VLOOKUP("bo",#REF!, 2, FALSE)</f>
        <v>#REF!</v>
      </c>
      <c r="D11" t="e">
        <f>VLOOKUP("bo",#REF!, 2, FALSE)</f>
        <v>#REF!</v>
      </c>
      <c r="E11" t="e">
        <f>VLOOKUP("bo",#REF!, 2, FALSE)</f>
        <v>#REF!</v>
      </c>
      <c r="F11" t="e">
        <f>VLOOKUP("bo",#REF!, 2, FALSE)</f>
        <v>#REF!</v>
      </c>
      <c r="G11" t="e">
        <f>VLOOKUP("bo",#REF!, 2, FALSE)</f>
        <v>#REF!</v>
      </c>
      <c r="H11" t="e">
        <f>VLOOKUP("bo",#REF!, 2, FALSE)</f>
        <v>#REF!</v>
      </c>
      <c r="I11" t="e">
        <f>VLOOKUP("bo",#REF!, 2, FALSE)</f>
        <v>#REF!</v>
      </c>
      <c r="J11" t="e">
        <f>VLOOKUP("bo",#REF!, 2, FALSE)</f>
        <v>#REF!</v>
      </c>
      <c r="K11" t="e">
        <f>VLOOKUP("bo",#REF!, 2, FALSE)</f>
        <v>#REF!</v>
      </c>
    </row>
    <row r="12" spans="1:11" x14ac:dyDescent="0.25">
      <c r="A12" t="s">
        <v>7</v>
      </c>
      <c r="B12" t="e">
        <f>VLOOKUP("cs",#REF!, 2, FALSE)</f>
        <v>#REF!</v>
      </c>
      <c r="C12" t="e">
        <f>VLOOKUP("cs",#REF!, 2, FALSE)</f>
        <v>#REF!</v>
      </c>
      <c r="D12" t="e">
        <f>VLOOKUP("cs",#REF!, 2, FALSE)</f>
        <v>#REF!</v>
      </c>
      <c r="E12" t="e">
        <f>VLOOKUP("cs",#REF!, 2, FALSE)</f>
        <v>#REF!</v>
      </c>
      <c r="F12" t="e">
        <f>VLOOKUP("cs",#REF!, 2, FALSE)</f>
        <v>#REF!</v>
      </c>
      <c r="G12" t="e">
        <f>VLOOKUP("cs",#REF!, 2, FALSE)</f>
        <v>#REF!</v>
      </c>
      <c r="H12" t="e">
        <f>VLOOKUP("cs",#REF!, 2, FALSE)</f>
        <v>#REF!</v>
      </c>
      <c r="I12" t="e">
        <f>VLOOKUP("cs",#REF!, 2, FALSE)</f>
        <v>#REF!</v>
      </c>
      <c r="J12" t="e">
        <f>VLOOKUP("cs",#REF!, 2, FALSE)</f>
        <v>#REF!</v>
      </c>
      <c r="K12" t="e">
        <f>VLOOKUP("cs",#REF!, 2, FALSE)</f>
        <v>#REF!</v>
      </c>
    </row>
    <row r="13" spans="1:11" x14ac:dyDescent="0.25">
      <c r="A13" t="s">
        <v>8</v>
      </c>
      <c r="B13" t="e">
        <f>VLOOKUP("all %user",#REF!, 2, FALSE)</f>
        <v>#REF!</v>
      </c>
      <c r="C13" t="e">
        <f>VLOOKUP("all %user",#REF!, 2, FALSE)</f>
        <v>#REF!</v>
      </c>
      <c r="D13" t="e">
        <f>VLOOKUP("all %user",#REF!, 2, FALSE)</f>
        <v>#REF!</v>
      </c>
      <c r="E13" t="e">
        <f>VLOOKUP("all %user",#REF!, 2, FALSE)</f>
        <v>#REF!</v>
      </c>
      <c r="F13" t="e">
        <f>VLOOKUP("all %user",#REF!, 2, FALSE)</f>
        <v>#REF!</v>
      </c>
      <c r="G13" t="e">
        <f>VLOOKUP("all %user",#REF!, 2, FALSE)</f>
        <v>#REF!</v>
      </c>
      <c r="H13" t="e">
        <f>VLOOKUP("all %user",#REF!, 2, FALSE)</f>
        <v>#REF!</v>
      </c>
      <c r="I13" t="e">
        <f>VLOOKUP("all %user",#REF!, 2, FALSE)</f>
        <v>#REF!</v>
      </c>
      <c r="J13" t="e">
        <f>VLOOKUP("all %user",#REF!, 2, FALSE)</f>
        <v>#REF!</v>
      </c>
      <c r="K13" t="e">
        <f>VLOOKUP("all %user",#REF!, 2, FALSE)</f>
        <v>#REF!</v>
      </c>
    </row>
    <row r="14" spans="1:11" x14ac:dyDescent="0.25">
      <c r="A14" t="s">
        <v>9</v>
      </c>
      <c r="B14" t="e">
        <f>VLOOKUP("all %system",#REF!, 2, FALSE)</f>
        <v>#REF!</v>
      </c>
      <c r="C14" t="e">
        <f>VLOOKUP("all %system",#REF!, 2, FALSE)</f>
        <v>#REF!</v>
      </c>
      <c r="D14" t="e">
        <f>VLOOKUP("all %system",#REF!, 2, FALSE)</f>
        <v>#REF!</v>
      </c>
      <c r="E14" t="e">
        <f>VLOOKUP("all %system",#REF!, 2, FALSE)</f>
        <v>#REF!</v>
      </c>
      <c r="F14" t="e">
        <f>VLOOKUP("all %system",#REF!, 2, FALSE)</f>
        <v>#REF!</v>
      </c>
      <c r="G14" t="e">
        <f>VLOOKUP("all %system",#REF!, 2, FALSE)</f>
        <v>#REF!</v>
      </c>
      <c r="H14" t="e">
        <f>VLOOKUP("all %system",#REF!, 2, FALSE)</f>
        <v>#REF!</v>
      </c>
      <c r="I14" t="e">
        <f>VLOOKUP("all %system",#REF!, 2, FALSE)</f>
        <v>#REF!</v>
      </c>
      <c r="J14" t="e">
        <f>VLOOKUP("all %system",#REF!, 2, FALSE)</f>
        <v>#REF!</v>
      </c>
      <c r="K14" t="e">
        <f>VLOOKUP("all %system",#REF!, 2, FALSE)</f>
        <v>#REF!</v>
      </c>
    </row>
    <row r="15" spans="1:11" x14ac:dyDescent="0.25">
      <c r="A15" t="s">
        <v>10</v>
      </c>
      <c r="B15" t="e">
        <f>VLOOKUP("all %idle",#REF!, 2, FALSE)</f>
        <v>#REF!</v>
      </c>
      <c r="C15" t="e">
        <f>VLOOKUP("all %idle",#REF!, 2, FALSE)</f>
        <v>#REF!</v>
      </c>
      <c r="D15" t="e">
        <f>VLOOKUP("all %idle",#REF!, 2, FALSE)</f>
        <v>#REF!</v>
      </c>
      <c r="E15" t="e">
        <f>VLOOKUP("all %idle",#REF!, 2, FALSE)</f>
        <v>#REF!</v>
      </c>
      <c r="F15" t="e">
        <f>VLOOKUP("all %idle",#REF!, 2, FALSE)</f>
        <v>#REF!</v>
      </c>
      <c r="G15" t="e">
        <f>VLOOKUP("all %idle",#REF!, 2, FALSE)</f>
        <v>#REF!</v>
      </c>
      <c r="H15" t="e">
        <f>VLOOKUP("all %idle",#REF!, 2, FALSE)</f>
        <v>#REF!</v>
      </c>
      <c r="I15" t="e">
        <f>VLOOKUP("all %idle",#REF!, 2, FALSE)</f>
        <v>#REF!</v>
      </c>
      <c r="J15" t="e">
        <f>VLOOKUP("all %idle",#REF!, 2, FALSE)</f>
        <v>#REF!</v>
      </c>
      <c r="K15" t="e">
        <f>VLOOKUP("all %idle",#REF!, 2, FALSE)</f>
        <v>#REF!</v>
      </c>
    </row>
    <row r="16" spans="1:11" x14ac:dyDescent="0.25">
      <c r="A16" t="s">
        <v>11</v>
      </c>
      <c r="B16" t="e">
        <f>VLOOKUP("all %iowait",#REF!, 2, FALSE)</f>
        <v>#REF!</v>
      </c>
      <c r="C16" t="e">
        <f>VLOOKUP("all %iowait",#REF!, 2, FALSE)</f>
        <v>#REF!</v>
      </c>
      <c r="D16" t="e">
        <f>VLOOKUP("all %iowait",#REF!, 2, FALSE)</f>
        <v>#REF!</v>
      </c>
      <c r="E16" t="e">
        <f>VLOOKUP("all %iowait",#REF!, 2, FALSE)</f>
        <v>#REF!</v>
      </c>
      <c r="F16" t="e">
        <f>VLOOKUP("all %iowait",#REF!, 2, FALSE)</f>
        <v>#REF!</v>
      </c>
      <c r="G16" t="e">
        <f>VLOOKUP("all %iowait",#REF!, 2, FALSE)</f>
        <v>#REF!</v>
      </c>
      <c r="H16" t="e">
        <f>VLOOKUP("all %iowait",#REF!, 2, FALSE)</f>
        <v>#REF!</v>
      </c>
      <c r="I16" t="e">
        <f>VLOOKUP("all %iowait",#REF!, 2, FALSE)</f>
        <v>#REF!</v>
      </c>
      <c r="J16" t="e">
        <f>VLOOKUP("all %iowait",#REF!, 2, FALSE)</f>
        <v>#REF!</v>
      </c>
      <c r="K16" t="e">
        <f>VLOOKUP("all %iowait",#REF!, 2, FALSE)</f>
        <v>#REF!</v>
      </c>
    </row>
    <row r="17" spans="1:11" x14ac:dyDescent="0.25">
      <c r="A17" t="s">
        <v>26</v>
      </c>
      <c r="B17" t="e">
        <f>VLOOKUP("bond0 rxkB/s",#REF!, 2, FALSE)</f>
        <v>#REF!</v>
      </c>
      <c r="C17" t="e">
        <f>VLOOKUP("eth5 rxkB/s",#REF!, 2, FALSE)</f>
        <v>#REF!</v>
      </c>
      <c r="D17" t="e">
        <f>VLOOKUP("bond0 rxkB/s",#REF!, 2, FALSE)</f>
        <v>#REF!</v>
      </c>
      <c r="E17" t="e">
        <f>VLOOKUP("bond0 rxkB/s",#REF!, 2, FALSE)</f>
        <v>#REF!</v>
      </c>
      <c r="F17" t="e">
        <f>VLOOKUP("bond0 rxkB/s",#REF!, 2, FALSE)</f>
        <v>#REF!</v>
      </c>
      <c r="G17" t="e">
        <f>VLOOKUP("bond0 rxkB/s",#REF!, 2, FALSE)</f>
        <v>#REF!</v>
      </c>
      <c r="H17" t="e">
        <f>VLOOKUP("bond0 rxkB/s",#REF!, 2, FALSE)</f>
        <v>#REF!</v>
      </c>
      <c r="I17" t="e">
        <f>VLOOKUP("bond0 rxkB/s",#REF!, 2, FALSE)</f>
        <v>#REF!</v>
      </c>
      <c r="J17" t="e">
        <f>VLOOKUP("bond0 rxkB/s",#REF!, 2, FALSE)</f>
        <v>#REF!</v>
      </c>
      <c r="K17" t="e">
        <f>VLOOKUP("bond0 rxkB/s",#REF!, 2, FALSE)</f>
        <v>#REF!</v>
      </c>
    </row>
    <row r="18" spans="1:11" x14ac:dyDescent="0.25">
      <c r="A18" t="s">
        <v>27</v>
      </c>
      <c r="B18" t="e">
        <f>VLOOKUP("bond0 txkB/s",#REF!, 2, FALSE)</f>
        <v>#REF!</v>
      </c>
      <c r="C18" t="e">
        <f>VLOOKUP("eth5 txkB/s",#REF!, 2, FALSE)</f>
        <v>#REF!</v>
      </c>
      <c r="D18" t="e">
        <f>VLOOKUP("bond0 txkB/s",#REF!, 2, FALSE)</f>
        <v>#REF!</v>
      </c>
      <c r="E18" t="e">
        <f>VLOOKUP("bond0 txkB/s",#REF!, 2, FALSE)</f>
        <v>#REF!</v>
      </c>
      <c r="F18" t="e">
        <f>VLOOKUP("bond0 txkB/s",#REF!, 2, FALSE)</f>
        <v>#REF!</v>
      </c>
      <c r="G18" t="e">
        <f>VLOOKUP("bond0 txkB/s",#REF!, 2, FALSE)</f>
        <v>#REF!</v>
      </c>
      <c r="H18" t="e">
        <f>VLOOKUP("bond0 txkB/s",#REF!, 2, FALSE)</f>
        <v>#REF!</v>
      </c>
      <c r="I18" t="e">
        <f>VLOOKUP("bond0 txkB/s",#REF!, 2, FALSE)</f>
        <v>#REF!</v>
      </c>
      <c r="J18" t="e">
        <f>VLOOKUP("bond0 txkB/s",#REF!, 2, FALSE)</f>
        <v>#REF!</v>
      </c>
      <c r="K18" t="e">
        <f>VLOOKUP("bond0 txkB/s",#REF!, 2, FALSE)</f>
        <v>#REF!</v>
      </c>
    </row>
    <row r="19" spans="1:11" x14ac:dyDescent="0.25">
      <c r="A19" t="s">
        <v>24</v>
      </c>
      <c r="C19" t="e">
        <f>VLOOKUP("eth4 rxkB/s",#REF!, 2, FALSE)</f>
        <v>#REF!</v>
      </c>
    </row>
    <row r="20" spans="1:11" x14ac:dyDescent="0.25">
      <c r="A20" t="s">
        <v>25</v>
      </c>
      <c r="C20" t="e">
        <f>VLOOKUP("eth4 txkB/s",#REF!, 2, FALSE)</f>
        <v>#REF!</v>
      </c>
    </row>
    <row r="21" spans="1:11" x14ac:dyDescent="0.25">
      <c r="A21" t="s">
        <v>12</v>
      </c>
      <c r="B21" t="e">
        <f xml:space="preserve"> SUMIF(#REF!, "r/s",#REF!)/COUNTIF(#REF!, "r/s")</f>
        <v>#REF!</v>
      </c>
      <c r="C21" t="e">
        <f xml:space="preserve"> SUMIF(#REF!, "r/s",#REF!)/COUNTIF(#REF!, "r/s")</f>
        <v>#REF!</v>
      </c>
      <c r="D21" t="e">
        <f xml:space="preserve"> SUMIF(#REF!, "r/s",#REF!)/COUNTIF(#REF!, "r/s")</f>
        <v>#REF!</v>
      </c>
      <c r="E21" t="e">
        <f xml:space="preserve"> SUMIF(#REF!, "r/s",#REF!)/COUNTIF(#REF!, "r/s")</f>
        <v>#REF!</v>
      </c>
      <c r="F21" t="e">
        <f xml:space="preserve"> SUMIF(#REF!, "r/s",#REF!)/COUNTIF(#REF!, "r/s")</f>
        <v>#REF!</v>
      </c>
      <c r="G21" t="e">
        <f xml:space="preserve"> SUMIF(#REF!, "r/s",#REF!)/COUNTIF(#REF!, "r/s")</f>
        <v>#REF!</v>
      </c>
      <c r="H21" t="e">
        <f xml:space="preserve"> SUMIF(#REF!, "r/s",#REF!)/COUNTIF(#REF!, "r/s")</f>
        <v>#REF!</v>
      </c>
      <c r="I21" t="e">
        <f xml:space="preserve"> SUMIF(#REF!, "r/s",#REF!)/COUNTIF(#REF!, "r/s")</f>
        <v>#REF!</v>
      </c>
      <c r="J21" t="e">
        <f xml:space="preserve"> SUMIF(#REF!, "r/s",#REF!)/COUNTIF(#REF!, "r/s")</f>
        <v>#REF!</v>
      </c>
      <c r="K21" t="e">
        <f xml:space="preserve"> SUMIF(#REF!, "r/s",#REF!)/COUNTIF(#REF!, "r/s")</f>
        <v>#REF!</v>
      </c>
    </row>
    <row r="22" spans="1:11" x14ac:dyDescent="0.25">
      <c r="A22" t="s">
        <v>13</v>
      </c>
      <c r="B22" t="e">
        <f xml:space="preserve"> SUMIF(#REF!, "w/s",#REF!)/COUNTIF(#REF!, "w/s")</f>
        <v>#REF!</v>
      </c>
      <c r="C22" t="e">
        <f xml:space="preserve"> SUMIF(#REF!, "w/s",#REF!)/COUNTIF(#REF!, "w/s")</f>
        <v>#REF!</v>
      </c>
      <c r="D22" t="e">
        <f xml:space="preserve"> SUMIF(#REF!, "w/s",#REF!)/COUNTIF(#REF!, "w/s")</f>
        <v>#REF!</v>
      </c>
      <c r="E22" t="e">
        <f xml:space="preserve"> SUMIF(#REF!, "w/s",#REF!)/COUNTIF(#REF!, "w/s")</f>
        <v>#REF!</v>
      </c>
      <c r="F22" t="e">
        <f xml:space="preserve"> SUMIF(#REF!, "w/s",#REF!)/COUNTIF(#REF!, "w/s")</f>
        <v>#REF!</v>
      </c>
      <c r="G22" t="e">
        <f xml:space="preserve"> SUMIF(#REF!, "w/s",#REF!)/COUNTIF(#REF!, "w/s")</f>
        <v>#REF!</v>
      </c>
      <c r="H22" t="e">
        <f xml:space="preserve"> SUMIF(#REF!, "w/s",#REF!)/COUNTIF(#REF!, "w/s")</f>
        <v>#REF!</v>
      </c>
      <c r="I22" t="e">
        <f xml:space="preserve"> SUMIF(#REF!, "w/s",#REF!)/COUNTIF(#REF!, "w/s")</f>
        <v>#REF!</v>
      </c>
      <c r="J22" t="e">
        <f xml:space="preserve"> SUMIF(#REF!, "w/s",#REF!)/COUNTIF(#REF!, "w/s")</f>
        <v>#REF!</v>
      </c>
      <c r="K22" t="e">
        <f xml:space="preserve"> SUMIF(#REF!, "w/s",#REF!)/COUNTIF(#REF!, "w/s")</f>
        <v>#REF!</v>
      </c>
    </row>
    <row r="23" spans="1:11" x14ac:dyDescent="0.25">
      <c r="A23" t="s">
        <v>14</v>
      </c>
      <c r="B23" t="e">
        <f xml:space="preserve"> SUMIF(#REF!, "rkB/s",#REF!)/COUNTIF(#REF!, "rkB/s")</f>
        <v>#REF!</v>
      </c>
      <c r="C23" t="e">
        <f xml:space="preserve"> SUMIF(#REF!, "rkB/s",#REF!)/COUNTIF(#REF!, "rkB/s")</f>
        <v>#REF!</v>
      </c>
      <c r="D23" t="e">
        <f xml:space="preserve"> SUMIF(#REF!, "rkB/s",#REF!)/COUNTIF(#REF!, "rkB/s")</f>
        <v>#REF!</v>
      </c>
      <c r="E23" t="e">
        <f xml:space="preserve"> SUMIF(#REF!, "rkB/s",#REF!)/COUNTIF(#REF!, "rkB/s")</f>
        <v>#REF!</v>
      </c>
      <c r="F23" t="e">
        <f xml:space="preserve"> SUMIF(#REF!, "rkB/s",#REF!)/COUNTIF(#REF!, "rkB/s")</f>
        <v>#REF!</v>
      </c>
      <c r="G23" t="e">
        <f xml:space="preserve"> SUMIF(#REF!, "rkB/s",#REF!)/COUNTIF(#REF!, "rkB/s")</f>
        <v>#REF!</v>
      </c>
      <c r="H23" t="e">
        <f xml:space="preserve"> SUMIF(#REF!, "rkB/s",#REF!)/COUNTIF(#REF!, "rkB/s")</f>
        <v>#REF!</v>
      </c>
      <c r="I23" t="e">
        <f xml:space="preserve"> SUMIF(#REF!, "rkB/s",#REF!)/COUNTIF(#REF!, "rkB/s")</f>
        <v>#REF!</v>
      </c>
      <c r="J23" t="e">
        <f xml:space="preserve"> SUMIF(#REF!, "rkB/s",#REF!)/COUNTIF(#REF!, "rkB/s")</f>
        <v>#REF!</v>
      </c>
      <c r="K23" t="e">
        <f xml:space="preserve"> SUMIF(#REF!, "rkB/s",#REF!)/COUNTIF(#REF!, "rkB/s")</f>
        <v>#REF!</v>
      </c>
    </row>
    <row r="24" spans="1:11" x14ac:dyDescent="0.25">
      <c r="A24" t="s">
        <v>15</v>
      </c>
      <c r="B24" t="e">
        <f xml:space="preserve"> SUMIF(#REF!, "wkB/s",#REF!)/COUNTIF(#REF!, "wkB/s")</f>
        <v>#REF!</v>
      </c>
      <c r="C24" t="e">
        <f xml:space="preserve"> SUMIF(#REF!, "wkB/s",#REF!)/COUNTIF(#REF!, "wkB/s")</f>
        <v>#REF!</v>
      </c>
      <c r="D24" t="e">
        <f xml:space="preserve"> SUMIF(#REF!, "wkB/s",#REF!)/COUNTIF(#REF!, "wkB/s")</f>
        <v>#REF!</v>
      </c>
      <c r="E24" t="e">
        <f xml:space="preserve"> SUMIF(#REF!, "wkB/s",#REF!)/COUNTIF(#REF!, "wkB/s")</f>
        <v>#REF!</v>
      </c>
      <c r="F24" t="e">
        <f xml:space="preserve"> SUMIF(#REF!, "wkB/s",#REF!)/COUNTIF(#REF!, "wkB/s")</f>
        <v>#REF!</v>
      </c>
      <c r="G24" t="e">
        <f xml:space="preserve"> SUMIF(#REF!, "wkB/s",#REF!)/COUNTIF(#REF!, "wkB/s")</f>
        <v>#REF!</v>
      </c>
      <c r="H24" t="e">
        <f xml:space="preserve"> SUMIF(#REF!, "wkB/s",#REF!)/COUNTIF(#REF!, "wkB/s")</f>
        <v>#REF!</v>
      </c>
      <c r="I24" t="e">
        <f xml:space="preserve"> SUMIF(#REF!, "wkB/s",#REF!)/COUNTIF(#REF!, "wkB/s")</f>
        <v>#REF!</v>
      </c>
      <c r="J24" t="e">
        <f xml:space="preserve"> SUMIF(#REF!, "wkB/s",#REF!)/COUNTIF(#REF!, "wkB/s")</f>
        <v>#REF!</v>
      </c>
      <c r="K24" t="e">
        <f xml:space="preserve"> SUMIF(#REF!, "wkB/s",#REF!)/COUNTIF(#REF!, "wkB/s")</f>
        <v>#REF!</v>
      </c>
    </row>
    <row r="25" spans="1:11" x14ac:dyDescent="0.25">
      <c r="A25" t="s">
        <v>17</v>
      </c>
      <c r="B25" t="e">
        <f xml:space="preserve"> SUMIF(#REF!, "avgrq-sz",#REF!)/COUNTIF(#REF!, "avgrq-sz")</f>
        <v>#REF!</v>
      </c>
      <c r="C25" t="e">
        <f xml:space="preserve"> SUMIF(#REF!, "avgrq-sz",#REF!)/COUNTIF(#REF!, "avgrq-sz")</f>
        <v>#REF!</v>
      </c>
      <c r="D25" t="e">
        <f xml:space="preserve"> SUMIF(#REF!, "avgrq-sz",#REF!)/COUNTIF(#REF!, "avgrq-sz")</f>
        <v>#REF!</v>
      </c>
      <c r="E25" t="e">
        <f xml:space="preserve"> SUMIF(#REF!, "avgrq-sz",#REF!)/COUNTIF(#REF!, "avgrq-sz")</f>
        <v>#REF!</v>
      </c>
      <c r="F25" t="e">
        <f xml:space="preserve"> SUMIF(#REF!, "avgrq-sz",#REF!)/COUNTIF(#REF!, "avgrq-sz")</f>
        <v>#REF!</v>
      </c>
      <c r="G25" t="e">
        <f xml:space="preserve"> SUMIF(#REF!, "avgrq-sz",#REF!)/COUNTIF(#REF!, "avgrq-sz")</f>
        <v>#REF!</v>
      </c>
      <c r="H25" t="e">
        <f xml:space="preserve"> SUMIF(#REF!, "avgrq-sz",#REF!)/COUNTIF(#REF!, "avgrq-sz")</f>
        <v>#REF!</v>
      </c>
      <c r="I25" t="e">
        <f xml:space="preserve"> SUMIF(#REF!, "avgrq-sz",#REF!)/COUNTIF(#REF!, "avgrq-sz")</f>
        <v>#REF!</v>
      </c>
      <c r="J25" t="e">
        <f xml:space="preserve"> SUMIF(#REF!, "avgrq-sz",#REF!)/COUNTIF(#REF!, "avgrq-sz")</f>
        <v>#REF!</v>
      </c>
      <c r="K25" t="e">
        <f xml:space="preserve"> SUMIF(#REF!, "avgrq-sz",#REF!)/COUNTIF(#REF!, "avgrq-sz")</f>
        <v>#REF!</v>
      </c>
    </row>
    <row r="26" spans="1:11" x14ac:dyDescent="0.25">
      <c r="A26" t="s">
        <v>16</v>
      </c>
      <c r="B26" t="e">
        <f xml:space="preserve"> SUMIF(#REF!, "avgqu-sz",#REF!)/COUNTIF(#REF!, "avgqu-sz")</f>
        <v>#REF!</v>
      </c>
      <c r="C26" t="e">
        <f xml:space="preserve"> SUMIF(#REF!, "avgqu-sz",#REF!)/COUNTIF(#REF!, "avgqu-sz")</f>
        <v>#REF!</v>
      </c>
      <c r="D26" t="e">
        <f xml:space="preserve"> SUMIF(#REF!, "avgqu-sz",#REF!)/COUNTIF(#REF!, "avgqu-sz")</f>
        <v>#REF!</v>
      </c>
      <c r="E26" t="e">
        <f xml:space="preserve"> SUMIF(#REF!, "avgqu-sz",#REF!)/COUNTIF(#REF!, "avgqu-sz")</f>
        <v>#REF!</v>
      </c>
      <c r="F26" t="e">
        <f xml:space="preserve"> SUMIF(#REF!, "avgqu-sz",#REF!)/COUNTIF(#REF!, "avgqu-sz")</f>
        <v>#REF!</v>
      </c>
      <c r="G26" t="e">
        <f xml:space="preserve"> SUMIF(#REF!, "avgqu-sz",#REF!)/COUNTIF(#REF!, "avgqu-sz")</f>
        <v>#REF!</v>
      </c>
      <c r="H26" t="e">
        <f xml:space="preserve"> SUMIF(#REF!, "avgqu-sz",#REF!)/COUNTIF(#REF!, "avgqu-sz")</f>
        <v>#REF!</v>
      </c>
      <c r="I26" t="e">
        <f xml:space="preserve"> SUMIF(#REF!, "avgqu-sz",#REF!)/COUNTIF(#REF!, "avgqu-sz")</f>
        <v>#REF!</v>
      </c>
      <c r="J26" t="e">
        <f xml:space="preserve"> SUMIF(#REF!, "avgqu-sz",#REF!)/COUNTIF(#REF!, "avgqu-sz")</f>
        <v>#REF!</v>
      </c>
      <c r="K26" t="e">
        <f xml:space="preserve"> SUMIF(#REF!, "avgqu-sz",#REF!)/COUNTIF(#REF!, "avgqu-sz")</f>
        <v>#REF!</v>
      </c>
    </row>
    <row r="27" spans="1:11" x14ac:dyDescent="0.25">
      <c r="A27" t="s">
        <v>18</v>
      </c>
      <c r="B27" t="e">
        <f xml:space="preserve"> SUMIF(#REF!, "await",#REF!)/COUNTIF(#REF!, "await")</f>
        <v>#REF!</v>
      </c>
      <c r="C27" t="e">
        <f xml:space="preserve"> SUMIF(#REF!, "await",#REF!)/COUNTIF(#REF!, "await")</f>
        <v>#REF!</v>
      </c>
      <c r="D27" t="e">
        <f xml:space="preserve"> SUMIF(#REF!, "await",#REF!)/COUNTIF(#REF!, "await")</f>
        <v>#REF!</v>
      </c>
      <c r="E27" t="e">
        <f xml:space="preserve"> SUMIF(#REF!, "await",#REF!)/COUNTIF(#REF!, "await")</f>
        <v>#REF!</v>
      </c>
      <c r="F27" t="e">
        <f xml:space="preserve"> SUMIF(#REF!, "await",#REF!)/COUNTIF(#REF!, "await")</f>
        <v>#REF!</v>
      </c>
      <c r="G27" t="e">
        <f xml:space="preserve"> SUMIF(#REF!, "await",#REF!)/COUNTIF(#REF!, "await")</f>
        <v>#REF!</v>
      </c>
      <c r="H27" t="e">
        <f xml:space="preserve"> SUMIF(#REF!, "await",#REF!)/COUNTIF(#REF!, "await")</f>
        <v>#REF!</v>
      </c>
      <c r="I27" t="e">
        <f xml:space="preserve"> SUMIF(#REF!, "await",#REF!)/COUNTIF(#REF!, "await")</f>
        <v>#REF!</v>
      </c>
      <c r="J27" t="e">
        <f xml:space="preserve"> SUMIF(#REF!, "await",#REF!)/COUNTIF(#REF!, "await")</f>
        <v>#REF!</v>
      </c>
      <c r="K27" t="e">
        <f xml:space="preserve"> SUMIF(#REF!, "await",#REF!)/COUNTIF(#REF!, "await")</f>
        <v>#REF!</v>
      </c>
    </row>
    <row r="28" spans="1:11" x14ac:dyDescent="0.25">
      <c r="A28" t="s">
        <v>19</v>
      </c>
      <c r="B28" t="e">
        <f xml:space="preserve"> SUMIF(#REF!, "svctm",#REF!)/COUNTIF(#REF!, "svctm")</f>
        <v>#REF!</v>
      </c>
      <c r="C28" t="e">
        <f xml:space="preserve"> SUMIF(#REF!, "svctm",#REF!)/COUNTIF(#REF!, "svctm")</f>
        <v>#REF!</v>
      </c>
      <c r="D28" t="e">
        <f xml:space="preserve"> SUMIF(#REF!, "svctm",#REF!)/COUNTIF(#REF!, "svctm")</f>
        <v>#REF!</v>
      </c>
      <c r="E28" t="e">
        <f xml:space="preserve"> SUMIF(#REF!, "svctm",#REF!)/COUNTIF(#REF!, "svctm")</f>
        <v>#REF!</v>
      </c>
      <c r="F28" t="e">
        <f xml:space="preserve"> SUMIF(#REF!, "svctm",#REF!)/COUNTIF(#REF!, "svctm")</f>
        <v>#REF!</v>
      </c>
      <c r="G28" t="e">
        <f xml:space="preserve"> SUMIF(#REF!, "svctm",#REF!)/COUNTIF(#REF!, "svctm")</f>
        <v>#REF!</v>
      </c>
      <c r="H28" t="e">
        <f xml:space="preserve"> SUMIF(#REF!, "svctm",#REF!)/COUNTIF(#REF!, "svctm")</f>
        <v>#REF!</v>
      </c>
      <c r="I28" t="e">
        <f xml:space="preserve"> SUMIF(#REF!, "svctm",#REF!)/COUNTIF(#REF!, "svctm")</f>
        <v>#REF!</v>
      </c>
      <c r="J28" t="e">
        <f xml:space="preserve"> SUMIF(#REF!, "svctm",#REF!)/COUNTIF(#REF!, "svctm")</f>
        <v>#REF!</v>
      </c>
      <c r="K28" t="e">
        <f xml:space="preserve"> SUMIF(#REF!, "svctm",#REF!)/COUNTIF(#REF!, "svctm")</f>
        <v>#REF!</v>
      </c>
    </row>
    <row r="29" spans="1:11" x14ac:dyDescent="0.25">
      <c r="A29" t="s">
        <v>20</v>
      </c>
      <c r="B29" t="e">
        <f xml:space="preserve"> SUMIF(#REF!, "%util",#REF!)/COUNTIF(#REF!, "%util")</f>
        <v>#REF!</v>
      </c>
      <c r="C29" t="e">
        <f xml:space="preserve"> SUMIF(#REF!, "%util",#REF!)/COUNTIF(#REF!, "%util")</f>
        <v>#REF!</v>
      </c>
      <c r="D29" t="e">
        <f xml:space="preserve"> SUMIF(#REF!, "%util",#REF!)/COUNTIF(#REF!, "%util")</f>
        <v>#REF!</v>
      </c>
      <c r="E29" t="e">
        <f xml:space="preserve"> SUMIF(#REF!, "%util",#REF!)/COUNTIF(#REF!, "%util")</f>
        <v>#REF!</v>
      </c>
      <c r="F29" t="e">
        <f xml:space="preserve"> SUMIF(#REF!, "%util",#REF!)/COUNTIF(#REF!, "%util")</f>
        <v>#REF!</v>
      </c>
      <c r="G29" t="e">
        <f xml:space="preserve"> SUMIF(#REF!, "%util",#REF!)/COUNTIF(#REF!, "%util")</f>
        <v>#REF!</v>
      </c>
      <c r="H29" t="e">
        <f xml:space="preserve"> SUMIF(#REF!, "%util",#REF!)/COUNTIF(#REF!, "%util")</f>
        <v>#REF!</v>
      </c>
      <c r="I29" t="e">
        <f xml:space="preserve"> SUMIF(#REF!, "%util",#REF!)/COUNTIF(#REF!, "%util")</f>
        <v>#REF!</v>
      </c>
      <c r="J29" t="e">
        <f xml:space="preserve"> SUMIF(#REF!, "%util",#REF!)/COUNTIF(#REF!, "%util")</f>
        <v>#REF!</v>
      </c>
      <c r="K29" t="e">
        <f xml:space="preserve"> SUMIF(#REF!, "%util",#REF!)/COUNTIF(#REF!, "%util")</f>
        <v>#REF!</v>
      </c>
    </row>
    <row r="56" spans="2:2" x14ac:dyDescent="0.25">
      <c r="B56" s="1"/>
    </row>
    <row r="98" spans="2:2" x14ac:dyDescent="0.25">
      <c r="B98" s="1"/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Load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3</xdr:col>
                    <xdr:colOff>335280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Load">
                <anchor moveWithCells="1" siz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1</xdr:col>
                    <xdr:colOff>289560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topLeftCell="A3" zoomScale="25" zoomScaleNormal="25" workbookViewId="0">
      <selection activeCell="U38" sqref="U38"/>
    </sheetView>
  </sheetViews>
  <sheetFormatPr defaultRowHeight="13.2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Timeline 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Zhang, Jian</cp:lastModifiedBy>
  <dcterms:created xsi:type="dcterms:W3CDTF">2006-10-25T07:02:41Z</dcterms:created>
  <dcterms:modified xsi:type="dcterms:W3CDTF">2013-01-24T07:23:39Z</dcterms:modified>
</cp:coreProperties>
</file>